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O:\Conference_and_training\2026_10_EMBL_MicrobialCommunitiesAndMetaboliteSpeciesDynamics\"/>
    </mc:Choice>
  </mc:AlternateContent>
  <xr:revisionPtr revIDLastSave="0" documentId="13_ncr:1_{1C327397-013A-408E-81E0-9F2A61BBD6A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mple info" sheetId="2" r:id="rId1"/>
    <sheet name="Pool inf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 a="1"/>
  <c r="I3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/>
  <c r="I26" i="2" a="1"/>
  <c r="I26" i="2" s="1"/>
  <c r="I27" i="2" a="1"/>
  <c r="I2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<sst xmlns="http://schemas.openxmlformats.org/spreadsheetml/2006/main" count="145" uniqueCount="84">
  <si>
    <t>Table 1</t>
  </si>
  <si>
    <t>16S Nanopore practical</t>
  </si>
  <si>
    <t>Sample no.</t>
  </si>
  <si>
    <t>Participant</t>
  </si>
  <si>
    <t>Axenic/Xenic</t>
  </si>
  <si>
    <t xml:space="preserve">Timepoint </t>
  </si>
  <si>
    <t>Qubit 1x HS  ng/ul</t>
  </si>
  <si>
    <t>Comment</t>
  </si>
  <si>
    <t>PCR cycle no.</t>
  </si>
  <si>
    <t>conc (ng/ul) after PCR</t>
  </si>
  <si>
    <t>ul sample for pooling</t>
  </si>
  <si>
    <t>Pool name</t>
  </si>
  <si>
    <t>Pool conc</t>
  </si>
  <si>
    <t>Camila</t>
  </si>
  <si>
    <t>X</t>
  </si>
  <si>
    <t>T0</t>
  </si>
  <si>
    <t>0.19</t>
  </si>
  <si>
    <t>140K</t>
  </si>
  <si>
    <t>POOL 2</t>
  </si>
  <si>
    <t>13,9 ng/ul</t>
  </si>
  <si>
    <t>A</t>
  </si>
  <si>
    <t>Too low to measure</t>
  </si>
  <si>
    <t>12K</t>
  </si>
  <si>
    <t>Katharina</t>
  </si>
  <si>
    <t>T7</t>
  </si>
  <si>
    <t>3.3</t>
  </si>
  <si>
    <t>240K</t>
  </si>
  <si>
    <t>1.69</t>
  </si>
  <si>
    <t>430K</t>
  </si>
  <si>
    <t>Ivan</t>
  </si>
  <si>
    <t>0.37</t>
  </si>
  <si>
    <t>100K</t>
  </si>
  <si>
    <t>200K</t>
  </si>
  <si>
    <t>Morgane</t>
  </si>
  <si>
    <t>410K</t>
  </si>
  <si>
    <t>2.5</t>
  </si>
  <si>
    <t>320K</t>
  </si>
  <si>
    <t>Ozge</t>
  </si>
  <si>
    <t>Use backup 3 instead - 1.89ng/ul</t>
  </si>
  <si>
    <t>825K</t>
  </si>
  <si>
    <t>Process</t>
  </si>
  <si>
    <t>130K</t>
  </si>
  <si>
    <t>Raffi</t>
  </si>
  <si>
    <t>POOL 1</t>
  </si>
  <si>
    <t>10,2 ng/ul</t>
  </si>
  <si>
    <t>Use backup 1 instead - 0.31ng/ul</t>
  </si>
  <si>
    <t>865K</t>
  </si>
  <si>
    <t>Vikram</t>
  </si>
  <si>
    <t>1.95</t>
  </si>
  <si>
    <t>1,1MIO</t>
  </si>
  <si>
    <t>1.1</t>
  </si>
  <si>
    <t>475K</t>
  </si>
  <si>
    <t>Valentina</t>
  </si>
  <si>
    <t>0.2</t>
  </si>
  <si>
    <t>220K</t>
  </si>
  <si>
    <t>10K</t>
  </si>
  <si>
    <t>Hajra</t>
  </si>
  <si>
    <t>9.1</t>
  </si>
  <si>
    <t>400K</t>
  </si>
  <si>
    <t>1.9</t>
  </si>
  <si>
    <t>330K</t>
  </si>
  <si>
    <t>Klaudia</t>
  </si>
  <si>
    <t>9.0</t>
  </si>
  <si>
    <t>0.96</t>
  </si>
  <si>
    <t>420K</t>
  </si>
  <si>
    <t>-</t>
  </si>
  <si>
    <t>Use backup 2 instead - 0.234ng/ul</t>
  </si>
  <si>
    <t>254K</t>
  </si>
  <si>
    <t>Camilla</t>
  </si>
  <si>
    <t>Use backup 4 instead - 1.87ng/ul</t>
  </si>
  <si>
    <t>480K</t>
  </si>
  <si>
    <t>Backups are samples generated for the dry run</t>
  </si>
  <si>
    <t>Pool: we pooled  ~400ng of amplicons, divided by 11 samples = ~36ng/sample</t>
  </si>
  <si>
    <t>We loaded 50fmol on the MinION FCs. We loaded each pool in a minION</t>
  </si>
  <si>
    <t>Pool 2</t>
  </si>
  <si>
    <t>13.9ng/ul</t>
  </si>
  <si>
    <t>50fmol equals 50ng</t>
  </si>
  <si>
    <t>We’ll load 4ul of the pool</t>
  </si>
  <si>
    <t>Pool 1</t>
  </si>
  <si>
    <t>We’ll load 5ul of the pool</t>
  </si>
  <si>
    <t>ONT BC</t>
  </si>
  <si>
    <t>Sample included in pool 2</t>
  </si>
  <si>
    <t>No. of reads after 16h run</t>
  </si>
  <si>
    <t>EMBO course: Microbial communities and metabolite species dynamics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</si>
</sst>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</font>
    <font>
      <sz val="12"/>
      <color indexed="8"/>
      <name val="Aptos Narrow"/>
      <family val="2"/>
    </font>
    <font>
      <sz val="15"/>
      <color indexed="8"/>
      <name val="Calibri"/>
      <family val="2"/>
    </font>
    <font>
      <b/>
      <sz val="11"/>
      <color indexed="8"/>
      <name val="Aptos Narrow"/>
      <family val="2"/>
    </font>
    <font>
      <sz val="11"/>
      <color indexed="14"/>
      <name val="Aptos Narrow"/>
      <family val="2"/>
    </font>
    <font>
      <sz val="11"/>
      <color indexed="8"/>
      <name val="Aptos Narrow"/>
      <family val="2"/>
    </font>
    <font>
      <b/>
      <sz val="14"/>
      <color indexed="8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</fills>
  <borders count="17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20"/>
      </bottom>
      <diagonal/>
    </border>
    <border>
      <left style="thin">
        <color indexed="19"/>
      </left>
      <right style="thin">
        <color indexed="20"/>
      </right>
      <top style="thin">
        <color indexed="20"/>
      </top>
      <bottom style="thin">
        <color indexed="19"/>
      </bottom>
      <diagonal/>
    </border>
    <border>
      <left style="thin">
        <color indexed="20"/>
      </left>
      <right style="thin">
        <color indexed="19"/>
      </right>
      <top style="thin">
        <color indexed="20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20"/>
      </top>
      <bottom style="thin">
        <color indexed="19"/>
      </bottom>
      <diagonal/>
    </border>
    <border>
      <left style="thin">
        <color indexed="19"/>
      </left>
      <right style="thin">
        <color indexed="20"/>
      </right>
      <top style="thin">
        <color indexed="19"/>
      </top>
      <bottom style="thin">
        <color indexed="19"/>
      </bottom>
      <diagonal/>
    </border>
    <border>
      <left style="thin">
        <color indexed="20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58">
    <xf numFmtId="0" fontId="0" fillId="0" borderId="0" xfId="0" applyFont="1" applyAlignment="1"/>
    <xf numFmtId="0" fontId="0" fillId="0" borderId="0" xfId="0" applyNumberFormat="1" applyFont="1" applyAlignment="1"/>
    <xf numFmtId="14" fontId="0" fillId="0" borderId="1" xfId="0" applyNumberFormat="1" applyFont="1" applyBorder="1" applyAlignment="1"/>
    <xf numFmtId="0" fontId="0" fillId="0" borderId="1" xfId="0" applyFont="1" applyBorder="1" applyAlignment="1"/>
    <xf numFmtId="49" fontId="0" fillId="0" borderId="1" xfId="0" applyNumberFormat="1" applyFont="1" applyBorder="1" applyAlignment="1"/>
    <xf numFmtId="2" fontId="0" fillId="0" borderId="1" xfId="0" applyNumberFormat="1" applyFont="1" applyBorder="1" applyAlignment="1"/>
    <xf numFmtId="0" fontId="0" fillId="0" borderId="2" xfId="0" applyFont="1" applyBorder="1" applyAlignment="1"/>
    <xf numFmtId="49" fontId="3" fillId="0" borderId="3" xfId="0" applyNumberFormat="1" applyFont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/>
    </xf>
    <xf numFmtId="49" fontId="0" fillId="2" borderId="3" xfId="0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0" borderId="3" xfId="0" applyFont="1" applyBorder="1" applyAlignment="1"/>
    <xf numFmtId="0" fontId="0" fillId="3" borderId="3" xfId="0" applyNumberFormat="1" applyFont="1" applyFill="1" applyBorder="1" applyAlignment="1">
      <alignment horizontal="center"/>
    </xf>
    <xf numFmtId="49" fontId="0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5" borderId="3" xfId="0" applyNumberFormat="1" applyFont="1" applyFill="1" applyBorder="1" applyAlignment="1">
      <alignment horizontal="center"/>
    </xf>
    <xf numFmtId="49" fontId="0" fillId="5" borderId="3" xfId="0" applyNumberFormat="1" applyFont="1" applyFill="1" applyBorder="1" applyAlignment="1">
      <alignment horizontal="center"/>
    </xf>
    <xf numFmtId="49" fontId="0" fillId="0" borderId="3" xfId="0" applyNumberFormat="1" applyFont="1" applyBorder="1" applyAlignment="1"/>
    <xf numFmtId="0" fontId="0" fillId="0" borderId="0" xfId="0" applyNumberFormat="1" applyFont="1" applyAlignment="1"/>
    <xf numFmtId="0" fontId="3" fillId="6" borderId="4" xfId="0" applyFont="1" applyFill="1" applyBorder="1" applyAlignment="1"/>
    <xf numFmtId="0" fontId="3" fillId="7" borderId="5" xfId="0" applyFont="1" applyFill="1" applyBorder="1" applyAlignment="1"/>
    <xf numFmtId="49" fontId="0" fillId="0" borderId="6" xfId="0" applyNumberFormat="1" applyFont="1" applyBorder="1" applyAlignment="1"/>
    <xf numFmtId="49" fontId="0" fillId="0" borderId="7" xfId="0" applyNumberFormat="1" applyFont="1" applyBorder="1" applyAlignment="1"/>
    <xf numFmtId="0" fontId="0" fillId="0" borderId="7" xfId="0" applyFont="1" applyBorder="1" applyAlignment="1"/>
    <xf numFmtId="0" fontId="3" fillId="7" borderId="8" xfId="0" applyFont="1" applyFill="1" applyBorder="1" applyAlignment="1"/>
    <xf numFmtId="49" fontId="0" fillId="0" borderId="9" xfId="0" applyNumberFormat="1" applyFont="1" applyBorder="1" applyAlignment="1"/>
    <xf numFmtId="0" fontId="0" fillId="0" borderId="10" xfId="0" applyFont="1" applyBorder="1" applyAlignment="1"/>
    <xf numFmtId="0" fontId="0" fillId="0" borderId="9" xfId="0" applyFont="1" applyBorder="1" applyAlignment="1"/>
    <xf numFmtId="49" fontId="0" fillId="0" borderId="10" xfId="0" applyNumberFormat="1" applyFont="1" applyBorder="1" applyAlignment="1"/>
    <xf numFmtId="49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/>
    <xf numFmtId="0" fontId="2" fillId="0" borderId="0" xfId="0" applyFont="1" applyAlignment="1">
      <alignment horizontal="center" vertical="center"/>
    </xf>
    <xf numFmtId="0" fontId="0" fillId="2" borderId="12" xfId="0" applyNumberFormat="1" applyFont="1" applyFill="1" applyBorder="1" applyAlignment="1">
      <alignment horizontal="center"/>
    </xf>
    <xf numFmtId="0" fontId="0" fillId="3" borderId="12" xfId="0" applyNumberFormat="1" applyFont="1" applyFill="1" applyBorder="1" applyAlignment="1">
      <alignment horizontal="center"/>
    </xf>
    <xf numFmtId="0" fontId="0" fillId="5" borderId="12" xfId="0" applyNumberFormat="1" applyFont="1" applyFill="1" applyBorder="1" applyAlignment="1">
      <alignment horizontal="center"/>
    </xf>
    <xf numFmtId="2" fontId="0" fillId="2" borderId="14" xfId="0" applyNumberFormat="1" applyFont="1" applyFill="1" applyBorder="1" applyAlignment="1">
      <alignment horizontal="center"/>
    </xf>
    <xf numFmtId="0" fontId="0" fillId="2" borderId="14" xfId="0" applyNumberFormat="1" applyFont="1" applyFill="1" applyBorder="1" applyAlignment="1">
      <alignment horizontal="center"/>
    </xf>
    <xf numFmtId="49" fontId="0" fillId="2" borderId="14" xfId="0" applyNumberFormat="1" applyFont="1" applyFill="1" applyBorder="1" applyAlignment="1">
      <alignment horizontal="center"/>
    </xf>
    <xf numFmtId="0" fontId="0" fillId="0" borderId="15" xfId="0" applyFont="1" applyBorder="1" applyAlignment="1"/>
    <xf numFmtId="2" fontId="0" fillId="2" borderId="11" xfId="0" applyNumberFormat="1" applyFont="1" applyFill="1" applyBorder="1" applyAlignment="1">
      <alignment horizontal="center"/>
    </xf>
    <xf numFmtId="0" fontId="0" fillId="2" borderId="11" xfId="0" applyNumberFormat="1" applyFont="1" applyFill="1" applyBorder="1" applyAlignment="1">
      <alignment horizontal="center"/>
    </xf>
    <xf numFmtId="49" fontId="4" fillId="2" borderId="11" xfId="0" applyNumberFormat="1" applyFont="1" applyFill="1" applyBorder="1" applyAlignment="1">
      <alignment horizontal="center"/>
    </xf>
    <xf numFmtId="49" fontId="0" fillId="2" borderId="11" xfId="0" applyNumberFormat="1" applyFont="1" applyFill="1" applyBorder="1" applyAlignment="1">
      <alignment horizontal="center"/>
    </xf>
    <xf numFmtId="2" fontId="0" fillId="3" borderId="11" xfId="0" applyNumberFormat="1" applyFont="1" applyFill="1" applyBorder="1" applyAlignment="1">
      <alignment horizontal="center"/>
    </xf>
    <xf numFmtId="0" fontId="0" fillId="3" borderId="11" xfId="0" applyNumberFormat="1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9" fontId="0" fillId="3" borderId="11" xfId="0" applyNumberFormat="1" applyFont="1" applyFill="1" applyBorder="1" applyAlignment="1">
      <alignment horizontal="center"/>
    </xf>
    <xf numFmtId="49" fontId="0" fillId="4" borderId="11" xfId="0" applyNumberFormat="1" applyFont="1" applyFill="1" applyBorder="1" applyAlignment="1">
      <alignment horizontal="center"/>
    </xf>
    <xf numFmtId="2" fontId="0" fillId="5" borderId="11" xfId="0" applyNumberFormat="1" applyFont="1" applyFill="1" applyBorder="1" applyAlignment="1">
      <alignment horizontal="center"/>
    </xf>
    <xf numFmtId="0" fontId="0" fillId="5" borderId="11" xfId="0" applyNumberFormat="1" applyFont="1" applyFill="1" applyBorder="1" applyAlignment="1">
      <alignment horizontal="center"/>
    </xf>
    <xf numFmtId="49" fontId="0" fillId="5" borderId="11" xfId="0" applyNumberFormat="1" applyFont="1" applyFill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13" xfId="0" applyFont="1" applyBorder="1" applyAlignment="1"/>
    <xf numFmtId="49" fontId="6" fillId="0" borderId="1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B4FDE9"/>
      <rgbColor rgb="FFFF2600"/>
      <rgbColor rgb="FFFFBFFF"/>
      <rgbColor rgb="FFF6C2FB"/>
      <rgbColor rgb="FFC8FBEA"/>
      <rgbColor rgb="FFBDC0BF"/>
      <rgbColor rgb="FFA5A5A5"/>
      <rgbColor rgb="FF3F3F3F"/>
      <rgbColor rgb="FFDBDBDB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1"/>
  <sheetViews>
    <sheetView showGridLines="0" tabSelected="1" workbookViewId="0">
      <selection activeCell="A3" sqref="A3"/>
    </sheetView>
  </sheetViews>
  <sheetFormatPr defaultColWidth="8.85546875" defaultRowHeight="12.95" customHeight="1" x14ac:dyDescent="0.25"/>
  <cols>
    <col min="1" max="1" width="10.42578125" style="1" customWidth="1"/>
    <col min="2" max="2" width="10.28515625" style="1" customWidth="1"/>
    <col min="3" max="3" width="12.28515625" style="1" customWidth="1"/>
    <col min="4" max="4" width="10.28515625" style="1" customWidth="1"/>
    <col min="5" max="5" width="18.42578125" style="1" bestFit="1" customWidth="1"/>
    <col min="6" max="6" width="31.140625" style="1" bestFit="1" customWidth="1"/>
    <col min="7" max="7" width="13.42578125" style="1" customWidth="1"/>
    <col min="8" max="8" width="20.140625" style="1" customWidth="1"/>
    <col min="9" max="9" width="20.140625" style="1" bestFit="1" customWidth="1"/>
    <col min="10" max="10" width="7.85546875" style="19" bestFit="1" customWidth="1"/>
    <col min="11" max="11" width="24" style="1" bestFit="1" customWidth="1"/>
    <col min="12" max="12" width="10.42578125" style="1" bestFit="1" customWidth="1"/>
    <col min="13" max="13" width="9.7109375" style="1" bestFit="1" customWidth="1"/>
    <col min="14" max="14" width="8.85546875" style="1" customWidth="1"/>
    <col min="15" max="16384" width="8.85546875" style="1"/>
  </cols>
  <sheetData>
    <row r="1" spans="1:13" ht="15.95" customHeight="1" x14ac:dyDescent="0.25">
      <c r="A1" s="2">
        <v>46301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95" customHeight="1" x14ac:dyDescent="0.25">
      <c r="A2" s="57" t="s">
        <v>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95" customHeight="1" x14ac:dyDescent="0.25">
      <c r="A3" s="4" t="s">
        <v>1</v>
      </c>
      <c r="B3" s="3"/>
      <c r="C3" s="3"/>
      <c r="D3" s="3"/>
      <c r="E3" s="3"/>
      <c r="F3" s="3"/>
      <c r="G3" s="3"/>
      <c r="H3" s="5"/>
      <c r="I3" s="5" cm="1">
        <f t="array" ref="I3">400/11</f>
        <v>36.363636363636367</v>
      </c>
      <c r="J3" s="3"/>
      <c r="K3" s="5"/>
      <c r="L3" s="3"/>
      <c r="M3" s="3"/>
    </row>
    <row r="4" spans="1:13" ht="15.9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5.95" customHeight="1" x14ac:dyDescent="0.2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80</v>
      </c>
      <c r="K5" s="7" t="s">
        <v>82</v>
      </c>
      <c r="L5" s="7" t="s">
        <v>11</v>
      </c>
      <c r="M5" s="7" t="s">
        <v>12</v>
      </c>
    </row>
    <row r="6" spans="1:13" ht="15.95" customHeight="1" x14ac:dyDescent="0.25">
      <c r="A6" s="8">
        <v>1</v>
      </c>
      <c r="B6" s="9" t="s">
        <v>13</v>
      </c>
      <c r="C6" s="9" t="s">
        <v>14</v>
      </c>
      <c r="D6" s="9" t="s">
        <v>15</v>
      </c>
      <c r="E6" s="9" t="s">
        <v>16</v>
      </c>
      <c r="F6" s="10"/>
      <c r="G6" s="8">
        <v>28</v>
      </c>
      <c r="H6" s="8">
        <v>1.33</v>
      </c>
      <c r="I6" s="36" cm="1">
        <f t="array" ref="I6">40/H6</f>
        <v>30.075187969924812</v>
      </c>
      <c r="J6" s="37">
        <v>3</v>
      </c>
      <c r="K6" s="38" t="s">
        <v>17</v>
      </c>
      <c r="L6" s="54" t="s">
        <v>18</v>
      </c>
      <c r="M6" s="30" t="s">
        <v>19</v>
      </c>
    </row>
    <row r="7" spans="1:13" ht="15.95" customHeight="1" x14ac:dyDescent="0.25">
      <c r="A7" s="8">
        <v>2</v>
      </c>
      <c r="B7" s="9" t="s">
        <v>13</v>
      </c>
      <c r="C7" s="9" t="s">
        <v>20</v>
      </c>
      <c r="D7" s="9" t="s">
        <v>15</v>
      </c>
      <c r="E7" s="9" t="s">
        <v>21</v>
      </c>
      <c r="F7" s="10"/>
      <c r="G7" s="8">
        <v>28</v>
      </c>
      <c r="H7" s="33">
        <v>0.67</v>
      </c>
      <c r="I7" s="40" cm="1">
        <f t="array" ref="I7">40/H7</f>
        <v>59.701492537313428</v>
      </c>
      <c r="J7" s="41">
        <v>4</v>
      </c>
      <c r="K7" s="42" t="s">
        <v>22</v>
      </c>
      <c r="L7" s="55"/>
      <c r="M7" s="31"/>
    </row>
    <row r="8" spans="1:13" ht="15.95" customHeight="1" x14ac:dyDescent="0.25">
      <c r="A8" s="8">
        <v>3</v>
      </c>
      <c r="B8" s="9" t="s">
        <v>23</v>
      </c>
      <c r="C8" s="9" t="s">
        <v>14</v>
      </c>
      <c r="D8" s="9" t="s">
        <v>24</v>
      </c>
      <c r="E8" s="9" t="s">
        <v>25</v>
      </c>
      <c r="F8" s="10"/>
      <c r="G8" s="8">
        <v>28</v>
      </c>
      <c r="H8" s="33">
        <v>2</v>
      </c>
      <c r="I8" s="40" cm="1">
        <f t="array" ref="I8">40/H8</f>
        <v>20</v>
      </c>
      <c r="J8" s="41">
        <v>5</v>
      </c>
      <c r="K8" s="43" t="s">
        <v>26</v>
      </c>
      <c r="L8" s="55"/>
      <c r="M8" s="31"/>
    </row>
    <row r="9" spans="1:13" ht="15.95" customHeight="1" x14ac:dyDescent="0.25">
      <c r="A9" s="8">
        <v>4</v>
      </c>
      <c r="B9" s="9" t="s">
        <v>23</v>
      </c>
      <c r="C9" s="9" t="s">
        <v>20</v>
      </c>
      <c r="D9" s="9" t="s">
        <v>24</v>
      </c>
      <c r="E9" s="9" t="s">
        <v>27</v>
      </c>
      <c r="F9" s="10"/>
      <c r="G9" s="8">
        <v>28</v>
      </c>
      <c r="H9" s="33">
        <v>4.0999999999999996</v>
      </c>
      <c r="I9" s="40" cm="1">
        <f t="array" ref="I9">40/H9</f>
        <v>9.7560975609756113</v>
      </c>
      <c r="J9" s="41">
        <v>6</v>
      </c>
      <c r="K9" s="43" t="s">
        <v>28</v>
      </c>
      <c r="L9" s="55"/>
      <c r="M9" s="31"/>
    </row>
    <row r="10" spans="1:13" ht="15.95" customHeight="1" x14ac:dyDescent="0.25">
      <c r="A10" s="8">
        <v>5</v>
      </c>
      <c r="B10" s="9" t="s">
        <v>29</v>
      </c>
      <c r="C10" s="9" t="s">
        <v>14</v>
      </c>
      <c r="D10" s="9" t="s">
        <v>15</v>
      </c>
      <c r="E10" s="9" t="s">
        <v>30</v>
      </c>
      <c r="F10" s="10"/>
      <c r="G10" s="8">
        <v>28</v>
      </c>
      <c r="H10" s="33">
        <v>1.5</v>
      </c>
      <c r="I10" s="40" cm="1">
        <f t="array" ref="I10">40/H10</f>
        <v>26.666666666666668</v>
      </c>
      <c r="J10" s="41">
        <v>7</v>
      </c>
      <c r="K10" s="43" t="s">
        <v>31</v>
      </c>
      <c r="L10" s="55"/>
      <c r="M10" s="31"/>
    </row>
    <row r="11" spans="1:13" ht="15.95" customHeight="1" x14ac:dyDescent="0.25">
      <c r="A11" s="8">
        <v>6</v>
      </c>
      <c r="B11" s="9" t="s">
        <v>29</v>
      </c>
      <c r="C11" s="9" t="s">
        <v>20</v>
      </c>
      <c r="D11" s="9" t="s">
        <v>15</v>
      </c>
      <c r="E11" s="9" t="s">
        <v>21</v>
      </c>
      <c r="F11" s="10"/>
      <c r="G11" s="8">
        <v>28</v>
      </c>
      <c r="H11" s="33">
        <v>1.4</v>
      </c>
      <c r="I11" s="40" cm="1">
        <f t="array" ref="I11">40/H11</f>
        <v>28.571428571428573</v>
      </c>
      <c r="J11" s="41">
        <v>8</v>
      </c>
      <c r="K11" s="43" t="s">
        <v>32</v>
      </c>
      <c r="L11" s="55"/>
      <c r="M11" s="31"/>
    </row>
    <row r="12" spans="1:13" ht="15.95" customHeight="1" x14ac:dyDescent="0.25">
      <c r="A12" s="8">
        <v>7</v>
      </c>
      <c r="B12" s="9" t="s">
        <v>33</v>
      </c>
      <c r="C12" s="9" t="s">
        <v>14</v>
      </c>
      <c r="D12" s="9" t="s">
        <v>24</v>
      </c>
      <c r="E12" s="8">
        <v>3</v>
      </c>
      <c r="F12" s="10"/>
      <c r="G12" s="8">
        <v>28</v>
      </c>
      <c r="H12" s="33">
        <v>9.26</v>
      </c>
      <c r="I12" s="40" cm="1">
        <f t="array" ref="I12">40/H12</f>
        <v>4.319654427645788</v>
      </c>
      <c r="J12" s="41">
        <v>9</v>
      </c>
      <c r="K12" s="43" t="s">
        <v>34</v>
      </c>
      <c r="L12" s="55"/>
      <c r="M12" s="31"/>
    </row>
    <row r="13" spans="1:13" ht="15.95" customHeight="1" x14ac:dyDescent="0.25">
      <c r="A13" s="8">
        <v>8</v>
      </c>
      <c r="B13" s="9" t="s">
        <v>33</v>
      </c>
      <c r="C13" s="9" t="s">
        <v>20</v>
      </c>
      <c r="D13" s="9" t="s">
        <v>24</v>
      </c>
      <c r="E13" s="9" t="s">
        <v>35</v>
      </c>
      <c r="F13" s="10"/>
      <c r="G13" s="8">
        <v>28</v>
      </c>
      <c r="H13" s="33">
        <v>4.88</v>
      </c>
      <c r="I13" s="40" cm="1">
        <f t="array" ref="I13">40/H13</f>
        <v>8.1967213114754092</v>
      </c>
      <c r="J13" s="41">
        <v>10</v>
      </c>
      <c r="K13" s="43" t="s">
        <v>36</v>
      </c>
      <c r="L13" s="55"/>
      <c r="M13" s="31"/>
    </row>
    <row r="14" spans="1:13" ht="15.95" customHeight="1" x14ac:dyDescent="0.25">
      <c r="A14" s="8">
        <v>9</v>
      </c>
      <c r="B14" s="9" t="s">
        <v>37</v>
      </c>
      <c r="C14" s="9" t="s">
        <v>14</v>
      </c>
      <c r="D14" s="9" t="s">
        <v>15</v>
      </c>
      <c r="E14" s="9" t="s">
        <v>21</v>
      </c>
      <c r="F14" s="9" t="s">
        <v>38</v>
      </c>
      <c r="G14" s="8">
        <v>28</v>
      </c>
      <c r="H14" s="33">
        <v>3.3</v>
      </c>
      <c r="I14" s="40" cm="1">
        <f t="array" ref="I14">40/H14</f>
        <v>12.121212121212121</v>
      </c>
      <c r="J14" s="41">
        <v>11</v>
      </c>
      <c r="K14" s="43" t="s">
        <v>39</v>
      </c>
      <c r="L14" s="55"/>
      <c r="M14" s="31"/>
    </row>
    <row r="15" spans="1:13" ht="15.95" customHeight="1" x14ac:dyDescent="0.25">
      <c r="A15" s="8">
        <v>10</v>
      </c>
      <c r="B15" s="9" t="s">
        <v>37</v>
      </c>
      <c r="C15" s="9" t="s">
        <v>20</v>
      </c>
      <c r="D15" s="9" t="s">
        <v>15</v>
      </c>
      <c r="E15" s="9" t="s">
        <v>21</v>
      </c>
      <c r="F15" s="9" t="s">
        <v>40</v>
      </c>
      <c r="G15" s="8">
        <v>28</v>
      </c>
      <c r="H15" s="33">
        <v>0.7</v>
      </c>
      <c r="I15" s="40" cm="1">
        <f t="array" ref="I15">40/H15</f>
        <v>57.142857142857146</v>
      </c>
      <c r="J15" s="41">
        <v>12</v>
      </c>
      <c r="K15" s="43" t="s">
        <v>41</v>
      </c>
      <c r="L15" s="55"/>
      <c r="M15" s="31"/>
    </row>
    <row r="16" spans="1:13" ht="15.95" customHeight="1" x14ac:dyDescent="0.25">
      <c r="A16" s="12">
        <v>11</v>
      </c>
      <c r="B16" s="13" t="s">
        <v>42</v>
      </c>
      <c r="C16" s="13" t="s">
        <v>14</v>
      </c>
      <c r="D16" s="13" t="s">
        <v>15</v>
      </c>
      <c r="E16" s="13" t="s">
        <v>21</v>
      </c>
      <c r="F16" s="13" t="s">
        <v>40</v>
      </c>
      <c r="G16" s="12">
        <v>28</v>
      </c>
      <c r="H16" s="34">
        <v>1.1000000000000001</v>
      </c>
      <c r="I16" s="44" cm="1">
        <f t="array" ref="I16">40/H16</f>
        <v>36.36363636363636</v>
      </c>
      <c r="J16" s="45">
        <v>13</v>
      </c>
      <c r="K16" s="46">
        <v>300</v>
      </c>
      <c r="L16" s="56" t="s">
        <v>43</v>
      </c>
      <c r="M16" s="30" t="s">
        <v>44</v>
      </c>
    </row>
    <row r="17" spans="1:13" ht="15.95" customHeight="1" x14ac:dyDescent="0.25">
      <c r="A17" s="12">
        <v>12</v>
      </c>
      <c r="B17" s="13" t="s">
        <v>42</v>
      </c>
      <c r="C17" s="13" t="s">
        <v>20</v>
      </c>
      <c r="D17" s="13" t="s">
        <v>15</v>
      </c>
      <c r="E17" s="13" t="s">
        <v>21</v>
      </c>
      <c r="F17" s="13" t="s">
        <v>45</v>
      </c>
      <c r="G17" s="12">
        <v>28</v>
      </c>
      <c r="H17" s="34">
        <v>3.96</v>
      </c>
      <c r="I17" s="44" cm="1">
        <f t="array" ref="I17">40/H17</f>
        <v>10.1010101010101</v>
      </c>
      <c r="J17" s="45">
        <v>14</v>
      </c>
      <c r="K17" s="47" t="s">
        <v>46</v>
      </c>
      <c r="L17" s="55"/>
      <c r="M17" s="31"/>
    </row>
    <row r="18" spans="1:13" ht="17.100000000000001" customHeight="1" x14ac:dyDescent="0.25">
      <c r="A18" s="12">
        <v>13</v>
      </c>
      <c r="B18" s="13" t="s">
        <v>47</v>
      </c>
      <c r="C18" s="13" t="s">
        <v>14</v>
      </c>
      <c r="D18" s="13" t="s">
        <v>24</v>
      </c>
      <c r="E18" s="13" t="s">
        <v>48</v>
      </c>
      <c r="F18" s="14"/>
      <c r="G18" s="12">
        <v>28</v>
      </c>
      <c r="H18" s="34">
        <v>1.53</v>
      </c>
      <c r="I18" s="44" cm="1">
        <f t="array" ref="I18">40/H18</f>
        <v>26.143790849673202</v>
      </c>
      <c r="J18" s="45">
        <v>15</v>
      </c>
      <c r="K18" s="47" t="s">
        <v>49</v>
      </c>
      <c r="L18" s="55"/>
      <c r="M18" s="31"/>
    </row>
    <row r="19" spans="1:13" ht="15.95" customHeight="1" x14ac:dyDescent="0.25">
      <c r="A19" s="12">
        <v>14</v>
      </c>
      <c r="B19" s="13" t="s">
        <v>47</v>
      </c>
      <c r="C19" s="13" t="s">
        <v>20</v>
      </c>
      <c r="D19" s="13" t="s">
        <v>24</v>
      </c>
      <c r="E19" s="13" t="s">
        <v>50</v>
      </c>
      <c r="F19" s="15"/>
      <c r="G19" s="12">
        <v>28</v>
      </c>
      <c r="H19" s="34">
        <v>0.9</v>
      </c>
      <c r="I19" s="44" cm="1">
        <f t="array" ref="I19">40/H19</f>
        <v>44.444444444444443</v>
      </c>
      <c r="J19" s="45">
        <v>16</v>
      </c>
      <c r="K19" s="47" t="s">
        <v>51</v>
      </c>
      <c r="L19" s="55"/>
      <c r="M19" s="31"/>
    </row>
    <row r="20" spans="1:13" ht="15.95" customHeight="1" x14ac:dyDescent="0.25">
      <c r="A20" s="12">
        <v>15</v>
      </c>
      <c r="B20" s="13" t="s">
        <v>52</v>
      </c>
      <c r="C20" s="13" t="s">
        <v>14</v>
      </c>
      <c r="D20" s="13" t="s">
        <v>15</v>
      </c>
      <c r="E20" s="13" t="s">
        <v>53</v>
      </c>
      <c r="F20" s="15"/>
      <c r="G20" s="12">
        <v>28</v>
      </c>
      <c r="H20" s="34">
        <v>1.72</v>
      </c>
      <c r="I20" s="44" cm="1">
        <f t="array" ref="I20">40/H20</f>
        <v>23.255813953488371</v>
      </c>
      <c r="J20" s="45">
        <v>17</v>
      </c>
      <c r="K20" s="48" t="s">
        <v>54</v>
      </c>
      <c r="L20" s="55"/>
      <c r="M20" s="31"/>
    </row>
    <row r="21" spans="1:13" ht="15.95" customHeight="1" x14ac:dyDescent="0.25">
      <c r="A21" s="12">
        <v>16</v>
      </c>
      <c r="B21" s="13" t="s">
        <v>52</v>
      </c>
      <c r="C21" s="13" t="s">
        <v>20</v>
      </c>
      <c r="D21" s="13" t="s">
        <v>15</v>
      </c>
      <c r="E21" s="13" t="s">
        <v>21</v>
      </c>
      <c r="F21" s="15"/>
      <c r="G21" s="12">
        <v>28</v>
      </c>
      <c r="H21" s="34">
        <v>0.85</v>
      </c>
      <c r="I21" s="44" cm="1">
        <f t="array" ref="I21">40/H21</f>
        <v>47.058823529411768</v>
      </c>
      <c r="J21" s="45">
        <v>18</v>
      </c>
      <c r="K21" s="48" t="s">
        <v>55</v>
      </c>
      <c r="L21" s="55"/>
      <c r="M21" s="31"/>
    </row>
    <row r="22" spans="1:13" ht="15.95" customHeight="1" x14ac:dyDescent="0.25">
      <c r="A22" s="12">
        <v>17</v>
      </c>
      <c r="B22" s="13" t="s">
        <v>56</v>
      </c>
      <c r="C22" s="13" t="s">
        <v>14</v>
      </c>
      <c r="D22" s="13" t="s">
        <v>24</v>
      </c>
      <c r="E22" s="13" t="s">
        <v>57</v>
      </c>
      <c r="F22" s="15"/>
      <c r="G22" s="12">
        <v>28</v>
      </c>
      <c r="H22" s="34">
        <v>7.78</v>
      </c>
      <c r="I22" s="44" cm="1">
        <f t="array" ref="I22">40/H22</f>
        <v>5.1413881748071981</v>
      </c>
      <c r="J22" s="45">
        <v>19</v>
      </c>
      <c r="K22" s="48" t="s">
        <v>58</v>
      </c>
      <c r="L22" s="55"/>
      <c r="M22" s="31"/>
    </row>
    <row r="23" spans="1:13" ht="15.95" customHeight="1" x14ac:dyDescent="0.25">
      <c r="A23" s="12">
        <v>18</v>
      </c>
      <c r="B23" s="13" t="s">
        <v>56</v>
      </c>
      <c r="C23" s="13" t="s">
        <v>20</v>
      </c>
      <c r="D23" s="13" t="s">
        <v>24</v>
      </c>
      <c r="E23" s="13" t="s">
        <v>59</v>
      </c>
      <c r="F23" s="15"/>
      <c r="G23" s="12">
        <v>28</v>
      </c>
      <c r="H23" s="34">
        <v>2.9</v>
      </c>
      <c r="I23" s="44" cm="1">
        <f t="array" ref="I23">40/H23</f>
        <v>13.793103448275863</v>
      </c>
      <c r="J23" s="45">
        <v>20</v>
      </c>
      <c r="K23" s="47" t="s">
        <v>60</v>
      </c>
      <c r="L23" s="55"/>
      <c r="M23" s="31"/>
    </row>
    <row r="24" spans="1:13" ht="15.95" customHeight="1" x14ac:dyDescent="0.25">
      <c r="A24" s="12">
        <v>19</v>
      </c>
      <c r="B24" s="13" t="s">
        <v>61</v>
      </c>
      <c r="C24" s="13" t="s">
        <v>14</v>
      </c>
      <c r="D24" s="13" t="s">
        <v>24</v>
      </c>
      <c r="E24" s="13" t="s">
        <v>62</v>
      </c>
      <c r="F24" s="15"/>
      <c r="G24" s="12">
        <v>28</v>
      </c>
      <c r="H24" s="34">
        <v>0.89</v>
      </c>
      <c r="I24" s="44" cm="1">
        <f t="array" ref="I24">40/H24</f>
        <v>44.943820224719097</v>
      </c>
      <c r="J24" s="45">
        <v>21</v>
      </c>
      <c r="K24" s="46">
        <v>300</v>
      </c>
      <c r="L24" s="55"/>
      <c r="M24" s="31"/>
    </row>
    <row r="25" spans="1:13" ht="15.95" customHeight="1" x14ac:dyDescent="0.25">
      <c r="A25" s="12">
        <v>20</v>
      </c>
      <c r="B25" s="13" t="s">
        <v>61</v>
      </c>
      <c r="C25" s="13" t="s">
        <v>20</v>
      </c>
      <c r="D25" s="13" t="s">
        <v>24</v>
      </c>
      <c r="E25" s="13" t="s">
        <v>63</v>
      </c>
      <c r="F25" s="15"/>
      <c r="G25" s="12">
        <v>28</v>
      </c>
      <c r="H25" s="34">
        <v>10.7</v>
      </c>
      <c r="I25" s="44">
        <v>5</v>
      </c>
      <c r="J25" s="45">
        <v>22</v>
      </c>
      <c r="K25" s="48" t="s">
        <v>64</v>
      </c>
      <c r="L25" s="55"/>
      <c r="M25" s="31"/>
    </row>
    <row r="26" spans="1:13" ht="15.95" customHeight="1" x14ac:dyDescent="0.25">
      <c r="A26" s="12">
        <v>21</v>
      </c>
      <c r="B26" s="13" t="s">
        <v>52</v>
      </c>
      <c r="C26" s="13" t="s">
        <v>20</v>
      </c>
      <c r="D26" s="13" t="s">
        <v>15</v>
      </c>
      <c r="E26" s="13" t="s">
        <v>65</v>
      </c>
      <c r="F26" s="13" t="s">
        <v>66</v>
      </c>
      <c r="G26" s="12">
        <v>28</v>
      </c>
      <c r="H26" s="34">
        <v>2.2999999999999998</v>
      </c>
      <c r="I26" s="44" cm="1">
        <f t="array" ref="I26">40/H26</f>
        <v>17.39130434782609</v>
      </c>
      <c r="J26" s="45">
        <v>23</v>
      </c>
      <c r="K26" s="48" t="s">
        <v>67</v>
      </c>
      <c r="L26" s="55"/>
      <c r="M26" s="31"/>
    </row>
    <row r="27" spans="1:13" ht="15.95" customHeight="1" x14ac:dyDescent="0.25">
      <c r="A27" s="16">
        <v>22</v>
      </c>
      <c r="B27" s="17" t="s">
        <v>68</v>
      </c>
      <c r="C27" s="17" t="s">
        <v>14</v>
      </c>
      <c r="D27" s="17" t="s">
        <v>15</v>
      </c>
      <c r="E27" s="17" t="s">
        <v>65</v>
      </c>
      <c r="F27" s="17" t="s">
        <v>69</v>
      </c>
      <c r="G27" s="16">
        <v>28</v>
      </c>
      <c r="H27" s="35">
        <v>4.1399999999999997</v>
      </c>
      <c r="I27" s="49" cm="1">
        <f t="array" ref="I27">40/H27</f>
        <v>9.6618357487922708</v>
      </c>
      <c r="J27" s="50">
        <v>24</v>
      </c>
      <c r="K27" s="51" t="s">
        <v>70</v>
      </c>
      <c r="L27" s="53" t="s">
        <v>81</v>
      </c>
      <c r="M27" s="52"/>
    </row>
    <row r="28" spans="1:13" ht="15.95" customHeight="1" x14ac:dyDescent="0.25">
      <c r="A28" s="11"/>
      <c r="B28" s="11"/>
      <c r="C28" s="11"/>
      <c r="D28" s="11"/>
      <c r="E28" s="11"/>
      <c r="F28" s="11"/>
      <c r="G28" s="11"/>
      <c r="H28" s="11"/>
      <c r="I28" s="39"/>
      <c r="J28" s="39"/>
      <c r="K28" s="39"/>
      <c r="L28" s="11"/>
      <c r="M28" s="11"/>
    </row>
    <row r="29" spans="1:13" ht="15.95" customHeight="1" x14ac:dyDescent="0.25">
      <c r="A29" s="18" t="s">
        <v>71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.95" customHeight="1" x14ac:dyDescent="0.25">
      <c r="A30" s="18" t="s">
        <v>72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95" customHeight="1" x14ac:dyDescent="0.25">
      <c r="A31" s="18" t="s">
        <v>73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</sheetData>
  <mergeCells count="5">
    <mergeCell ref="L6:L15"/>
    <mergeCell ref="L16:L26"/>
    <mergeCell ref="M6:M15"/>
    <mergeCell ref="M16:M26"/>
    <mergeCell ref="L27:M27"/>
  </mergeCells>
  <pageMargins left="0.31496062992125984" right="0.31496062992125984" top="0.74803149606299213" bottom="0.74803149606299213" header="0.31496062992125984" footer="0.31496062992125984"/>
  <pageSetup scale="66" orientation="landscape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28515625" defaultRowHeight="12.95" customHeight="1" x14ac:dyDescent="0.25"/>
  <cols>
    <col min="1" max="6" width="16.28515625" style="19" customWidth="1"/>
    <col min="7" max="16384" width="16.28515625" style="19"/>
  </cols>
  <sheetData>
    <row r="1" spans="1:5" ht="15.6" customHeight="1" x14ac:dyDescent="0.25">
      <c r="A1" s="32" t="s">
        <v>0</v>
      </c>
      <c r="B1" s="32"/>
      <c r="C1" s="32"/>
      <c r="D1" s="32"/>
      <c r="E1" s="32"/>
    </row>
    <row r="2" spans="1:5" ht="15.6" customHeight="1" x14ac:dyDescent="0.25">
      <c r="A2" s="20"/>
      <c r="B2" s="20"/>
      <c r="C2" s="20"/>
      <c r="D2" s="20"/>
      <c r="E2" s="20"/>
    </row>
    <row r="3" spans="1:5" ht="15.6" customHeight="1" x14ac:dyDescent="0.25">
      <c r="A3" s="21"/>
      <c r="B3" s="22" t="s">
        <v>74</v>
      </c>
      <c r="C3" s="23" t="s">
        <v>75</v>
      </c>
      <c r="D3" s="24"/>
      <c r="E3" s="24"/>
    </row>
    <row r="4" spans="1:5" ht="15.4" customHeight="1" x14ac:dyDescent="0.25">
      <c r="A4" s="25"/>
      <c r="B4" s="26" t="s">
        <v>76</v>
      </c>
      <c r="C4" s="27"/>
      <c r="D4" s="27"/>
      <c r="E4" s="27"/>
    </row>
    <row r="5" spans="1:5" ht="15.4" customHeight="1" x14ac:dyDescent="0.25">
      <c r="A5" s="25"/>
      <c r="B5" s="26" t="s">
        <v>77</v>
      </c>
      <c r="C5" s="27"/>
      <c r="D5" s="27"/>
      <c r="E5" s="27"/>
    </row>
    <row r="6" spans="1:5" ht="15.4" customHeight="1" x14ac:dyDescent="0.25">
      <c r="A6" s="25"/>
      <c r="B6" s="28"/>
      <c r="C6" s="27"/>
      <c r="D6" s="27"/>
      <c r="E6" s="27"/>
    </row>
    <row r="7" spans="1:5" ht="15.4" customHeight="1" x14ac:dyDescent="0.25">
      <c r="A7" s="25"/>
      <c r="B7" s="26" t="s">
        <v>78</v>
      </c>
      <c r="C7" s="29" t="s">
        <v>44</v>
      </c>
      <c r="D7" s="27"/>
      <c r="E7" s="27"/>
    </row>
    <row r="8" spans="1:5" ht="15.4" customHeight="1" x14ac:dyDescent="0.25">
      <c r="A8" s="25"/>
      <c r="B8" s="26" t="s">
        <v>76</v>
      </c>
      <c r="C8" s="27"/>
      <c r="D8" s="27"/>
      <c r="E8" s="27"/>
    </row>
    <row r="9" spans="1:5" ht="15.4" customHeight="1" x14ac:dyDescent="0.25">
      <c r="A9" s="25"/>
      <c r="B9" s="26" t="s">
        <v>79</v>
      </c>
      <c r="C9" s="27"/>
      <c r="D9" s="27"/>
      <c r="E9" s="27"/>
    </row>
    <row r="10" spans="1:5" ht="15.4" customHeight="1" x14ac:dyDescent="0.25">
      <c r="A10" s="25"/>
      <c r="B10" s="28"/>
      <c r="C10" s="27"/>
      <c r="D10" s="27"/>
      <c r="E10" s="27"/>
    </row>
    <row r="11" spans="1:5" ht="15.4" customHeight="1" x14ac:dyDescent="0.25">
      <c r="A11" s="25"/>
      <c r="B11" s="28"/>
      <c r="C11" s="27"/>
      <c r="D11" s="27"/>
      <c r="E11" s="27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info</vt:lpstr>
      <vt:lpstr>Pool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Villacorta</dc:creator>
  <cp:lastModifiedBy>Laura Villacorta</cp:lastModifiedBy>
  <cp:lastPrinted>2026-10-07T09:14:48Z</cp:lastPrinted>
  <dcterms:created xsi:type="dcterms:W3CDTF">2026-10-07T09:15:49Z</dcterms:created>
  <dcterms:modified xsi:type="dcterms:W3CDTF">2026-10-07T09:15:58Z</dcterms:modified>
</cp:coreProperties>
</file>